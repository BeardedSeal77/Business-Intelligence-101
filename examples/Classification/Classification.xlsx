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445a1c52d39f861/Documents/Work/Modules/Year 3/BIN381/Business-Intelligence-101/examples/Classification/"/>
    </mc:Choice>
  </mc:AlternateContent>
  <xr:revisionPtr revIDLastSave="146" documentId="11_F25DC773A252ABDACC1048DB099D654A5BDE58EA" xr6:coauthVersionLast="47" xr6:coauthVersionMax="47" xr10:uidLastSave="{D9138848-EBC2-4092-96A3-6C85C1DAF2B1}"/>
  <bookViews>
    <workbookView xWindow="19110" yWindow="0" windowWidth="19380" windowHeight="20970" activeTab="1" xr2:uid="{00000000-000D-0000-FFFF-FFFF00000000}"/>
  </bookViews>
  <sheets>
    <sheet name="Rule Based" sheetId="1" r:id="rId1"/>
    <sheet name="Sequential Cove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" i="2" l="1"/>
  <c r="B105" i="2" s="1"/>
  <c r="C105" i="2" s="1"/>
  <c r="B80" i="2"/>
  <c r="B82" i="2" s="1"/>
  <c r="C82" i="2" s="1"/>
  <c r="B55" i="2"/>
  <c r="B57" i="2" s="1"/>
  <c r="C57" i="2" s="1"/>
  <c r="B30" i="2"/>
  <c r="B29" i="1"/>
  <c r="B30" i="1"/>
  <c r="B39" i="1"/>
  <c r="B48" i="1"/>
  <c r="B57" i="1"/>
  <c r="C57" i="1" s="1"/>
  <c r="B56" i="1"/>
  <c r="C56" i="1" s="1"/>
  <c r="C48" i="1"/>
  <c r="B47" i="1"/>
  <c r="C47" i="1" s="1"/>
  <c r="B38" i="1"/>
  <c r="C29" i="1"/>
  <c r="C39" i="1"/>
  <c r="C38" i="1"/>
  <c r="C30" i="1"/>
  <c r="B104" i="2" l="1"/>
  <c r="C104" i="2" s="1"/>
  <c r="B56" i="2"/>
  <c r="B81" i="2"/>
  <c r="C81" i="2" s="1"/>
  <c r="C56" i="2"/>
  <c r="B31" i="2"/>
  <c r="C31" i="2" s="1"/>
  <c r="B32" i="2"/>
  <c r="C32" i="2" s="1"/>
</calcChain>
</file>

<file path=xl/sharedStrings.xml><?xml version="1.0" encoding="utf-8"?>
<sst xmlns="http://schemas.openxmlformats.org/spreadsheetml/2006/main" count="964" uniqueCount="62">
  <si>
    <t>ID</t>
  </si>
  <si>
    <t>AgeGroup</t>
  </si>
  <si>
    <t>Income</t>
  </si>
  <si>
    <t>Employment</t>
  </si>
  <si>
    <t>CreditScore</t>
  </si>
  <si>
    <t>Debt</t>
  </si>
  <si>
    <t>MaritalStatus</t>
  </si>
  <si>
    <t>Education</t>
  </si>
  <si>
    <t>LoanAmount</t>
  </si>
  <si>
    <t>Collateral</t>
  </si>
  <si>
    <t>Approved</t>
  </si>
  <si>
    <t>Youth</t>
  </si>
  <si>
    <t>Low</t>
  </si>
  <si>
    <t>Unemployed</t>
  </si>
  <si>
    <t>Poor</t>
  </si>
  <si>
    <t>High</t>
  </si>
  <si>
    <t>Single</t>
  </si>
  <si>
    <t>HighSchool</t>
  </si>
  <si>
    <t>Small</t>
  </si>
  <si>
    <t>None</t>
  </si>
  <si>
    <t>No</t>
  </si>
  <si>
    <t>Medium</t>
  </si>
  <si>
    <t>Employed</t>
  </si>
  <si>
    <t>Fair</t>
  </si>
  <si>
    <t>Married</t>
  </si>
  <si>
    <t>Diploma</t>
  </si>
  <si>
    <t>Car</t>
  </si>
  <si>
    <t>Yes</t>
  </si>
  <si>
    <t>MiddleAge</t>
  </si>
  <si>
    <t>SelfEmployed</t>
  </si>
  <si>
    <t>Good</t>
  </si>
  <si>
    <t>Degree</t>
  </si>
  <si>
    <t>Large</t>
  </si>
  <si>
    <t>House</t>
  </si>
  <si>
    <t>YoungAdult</t>
  </si>
  <si>
    <t>Senior</t>
  </si>
  <si>
    <t>Excellent</t>
  </si>
  <si>
    <t>Masters</t>
  </si>
  <si>
    <t>Student</t>
  </si>
  <si>
    <t>Ca</t>
  </si>
  <si>
    <t>Retired</t>
  </si>
  <si>
    <t>Rule 1</t>
  </si>
  <si>
    <t>yes</t>
  </si>
  <si>
    <t>no</t>
  </si>
  <si>
    <t>total</t>
  </si>
  <si>
    <t>coverage</t>
  </si>
  <si>
    <t>accuracy</t>
  </si>
  <si>
    <t>TupleIDs</t>
  </si>
  <si>
    <t>2, 6, 12, 19</t>
  </si>
  <si>
    <t>Rule 2</t>
  </si>
  <si>
    <t>Rule 3</t>
  </si>
  <si>
    <t>Rule 4</t>
  </si>
  <si>
    <t>Self</t>
  </si>
  <si>
    <t>5, 10, 16</t>
  </si>
  <si>
    <t>2, 7, 9, 14</t>
  </si>
  <si>
    <t>3, 13, 18</t>
  </si>
  <si>
    <t>Use the Sequential Covering Algorithm, to generate the given rules to predict Approved = Yes.</t>
  </si>
  <si>
    <t>Total</t>
  </si>
  <si>
    <t>3, 5, 10, 11, 13, 16, 18, 20</t>
  </si>
  <si>
    <t>Middle Age</t>
  </si>
  <si>
    <t>Younge Adult</t>
  </si>
  <si>
    <t>9, 14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</si>
</sst>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/>
    <xf numFmtId="0" fontId="0" fillId="0" borderId="0" xfId="0" applyFill="1" applyBorder="1"/>
    <xf numFmtId="0" fontId="0" fillId="3" borderId="0" xfId="0" applyFill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zoomScale="115" zoomScaleNormal="115" workbookViewId="0">
      <selection activeCell="A25" sqref="A25:K31"/>
    </sheetView>
  </sheetViews>
  <sheetFormatPr defaultRowHeight="14.5" x14ac:dyDescent="0.35"/>
  <cols>
    <col min="2" max="2" width="10.453125" bestFit="1" customWidth="1"/>
    <col min="3" max="3" width="7.81640625" bestFit="1" customWidth="1"/>
    <col min="4" max="4" width="12.08984375" bestFit="1" customWidth="1"/>
    <col min="5" max="5" width="10.36328125" bestFit="1" customWidth="1"/>
    <col min="6" max="6" width="7.81640625" bestFit="1" customWidth="1"/>
    <col min="7" max="7" width="12" bestFit="1" customWidth="1"/>
    <col min="8" max="8" width="10" bestFit="1" customWidth="1"/>
    <col min="9" max="9" width="11.54296875" bestFit="1" customWidth="1"/>
    <col min="11" max="11" width="9" bestFit="1" customWidth="1"/>
  </cols>
  <sheetData>
    <row r="1" spans="1:1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35">
      <c r="A2" s="5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6" t="s">
        <v>20</v>
      </c>
    </row>
    <row r="3" spans="1:11" x14ac:dyDescent="0.35">
      <c r="A3" s="5">
        <v>2</v>
      </c>
      <c r="B3" t="s">
        <v>11</v>
      </c>
      <c r="C3" t="s">
        <v>21</v>
      </c>
      <c r="D3" t="s">
        <v>22</v>
      </c>
      <c r="E3" t="s">
        <v>23</v>
      </c>
      <c r="F3" t="s">
        <v>12</v>
      </c>
      <c r="G3" t="s">
        <v>24</v>
      </c>
      <c r="H3" t="s">
        <v>25</v>
      </c>
      <c r="I3" t="s">
        <v>21</v>
      </c>
      <c r="J3" t="s">
        <v>26</v>
      </c>
      <c r="K3" s="6" t="s">
        <v>27</v>
      </c>
    </row>
    <row r="4" spans="1:11" x14ac:dyDescent="0.35">
      <c r="A4" s="5">
        <v>3</v>
      </c>
      <c r="B4" t="s">
        <v>28</v>
      </c>
      <c r="C4" t="s">
        <v>15</v>
      </c>
      <c r="D4" t="s">
        <v>29</v>
      </c>
      <c r="E4" t="s">
        <v>30</v>
      </c>
      <c r="F4" t="s">
        <v>21</v>
      </c>
      <c r="G4" t="s">
        <v>24</v>
      </c>
      <c r="H4" t="s">
        <v>31</v>
      </c>
      <c r="I4" t="s">
        <v>32</v>
      </c>
      <c r="J4" t="s">
        <v>33</v>
      </c>
      <c r="K4" s="6" t="s">
        <v>27</v>
      </c>
    </row>
    <row r="5" spans="1:11" x14ac:dyDescent="0.35">
      <c r="A5" s="5">
        <v>4</v>
      </c>
      <c r="B5" t="s">
        <v>34</v>
      </c>
      <c r="C5" t="s">
        <v>21</v>
      </c>
      <c r="D5" t="s">
        <v>22</v>
      </c>
      <c r="E5" t="s">
        <v>14</v>
      </c>
      <c r="F5" t="s">
        <v>15</v>
      </c>
      <c r="G5" t="s">
        <v>16</v>
      </c>
      <c r="H5" t="s">
        <v>31</v>
      </c>
      <c r="I5" t="s">
        <v>18</v>
      </c>
      <c r="J5" t="s">
        <v>19</v>
      </c>
      <c r="K5" s="6" t="s">
        <v>20</v>
      </c>
    </row>
    <row r="6" spans="1:11" x14ac:dyDescent="0.35">
      <c r="A6" s="5">
        <v>5</v>
      </c>
      <c r="B6" t="s">
        <v>35</v>
      </c>
      <c r="C6" t="s">
        <v>15</v>
      </c>
      <c r="D6" t="s">
        <v>22</v>
      </c>
      <c r="E6" t="s">
        <v>36</v>
      </c>
      <c r="F6" t="s">
        <v>12</v>
      </c>
      <c r="G6" t="s">
        <v>24</v>
      </c>
      <c r="H6" t="s">
        <v>37</v>
      </c>
      <c r="I6" t="s">
        <v>32</v>
      </c>
      <c r="J6" t="s">
        <v>33</v>
      </c>
      <c r="K6" s="6" t="s">
        <v>27</v>
      </c>
    </row>
    <row r="7" spans="1:11" x14ac:dyDescent="0.35">
      <c r="A7" s="5">
        <v>6</v>
      </c>
      <c r="B7" t="s">
        <v>11</v>
      </c>
      <c r="C7" t="s">
        <v>12</v>
      </c>
      <c r="D7" t="s">
        <v>22</v>
      </c>
      <c r="E7" t="s">
        <v>23</v>
      </c>
      <c r="F7" t="s">
        <v>21</v>
      </c>
      <c r="G7" t="s">
        <v>16</v>
      </c>
      <c r="H7" t="s">
        <v>25</v>
      </c>
      <c r="I7" t="s">
        <v>18</v>
      </c>
      <c r="J7" t="s">
        <v>19</v>
      </c>
      <c r="K7" s="6" t="s">
        <v>20</v>
      </c>
    </row>
    <row r="8" spans="1:11" x14ac:dyDescent="0.35">
      <c r="A8" s="5">
        <v>7</v>
      </c>
      <c r="B8" t="s">
        <v>28</v>
      </c>
      <c r="C8" t="s">
        <v>21</v>
      </c>
      <c r="D8" t="s">
        <v>22</v>
      </c>
      <c r="E8" t="s">
        <v>30</v>
      </c>
      <c r="F8" t="s">
        <v>12</v>
      </c>
      <c r="G8" t="s">
        <v>24</v>
      </c>
      <c r="H8" t="s">
        <v>31</v>
      </c>
      <c r="I8" t="s">
        <v>21</v>
      </c>
      <c r="J8" t="s">
        <v>26</v>
      </c>
      <c r="K8" s="6" t="s">
        <v>27</v>
      </c>
    </row>
    <row r="9" spans="1:11" x14ac:dyDescent="0.35">
      <c r="A9" s="5">
        <v>8</v>
      </c>
      <c r="B9" t="s">
        <v>11</v>
      </c>
      <c r="C9" t="s">
        <v>12</v>
      </c>
      <c r="D9" t="s">
        <v>38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s="6" t="s">
        <v>20</v>
      </c>
    </row>
    <row r="10" spans="1:11" x14ac:dyDescent="0.35">
      <c r="A10" s="5">
        <v>9</v>
      </c>
      <c r="B10" t="s">
        <v>34</v>
      </c>
      <c r="C10" t="s">
        <v>15</v>
      </c>
      <c r="D10" t="s">
        <v>22</v>
      </c>
      <c r="E10" t="s">
        <v>30</v>
      </c>
      <c r="F10" t="s">
        <v>21</v>
      </c>
      <c r="G10" t="s">
        <v>24</v>
      </c>
      <c r="H10" t="s">
        <v>31</v>
      </c>
      <c r="I10" t="s">
        <v>21</v>
      </c>
      <c r="J10" t="s">
        <v>39</v>
      </c>
      <c r="K10" s="6" t="s">
        <v>27</v>
      </c>
    </row>
    <row r="11" spans="1:11" x14ac:dyDescent="0.35">
      <c r="A11" s="5">
        <v>10</v>
      </c>
      <c r="B11" t="s">
        <v>35</v>
      </c>
      <c r="C11" t="s">
        <v>21</v>
      </c>
      <c r="D11" t="s">
        <v>40</v>
      </c>
      <c r="E11" t="s">
        <v>23</v>
      </c>
      <c r="F11" t="s">
        <v>12</v>
      </c>
      <c r="G11" t="s">
        <v>24</v>
      </c>
      <c r="H11" t="s">
        <v>17</v>
      </c>
      <c r="I11" t="s">
        <v>18</v>
      </c>
      <c r="J11" t="s">
        <v>33</v>
      </c>
      <c r="K11" s="6" t="s">
        <v>27</v>
      </c>
    </row>
    <row r="12" spans="1:11" x14ac:dyDescent="0.35">
      <c r="A12" s="5">
        <v>11</v>
      </c>
      <c r="B12" t="s">
        <v>34</v>
      </c>
      <c r="C12" t="s">
        <v>21</v>
      </c>
      <c r="D12" t="s">
        <v>22</v>
      </c>
      <c r="E12" t="s">
        <v>30</v>
      </c>
      <c r="F12" t="s">
        <v>12</v>
      </c>
      <c r="G12" t="s">
        <v>16</v>
      </c>
      <c r="H12" t="s">
        <v>31</v>
      </c>
      <c r="I12" t="s">
        <v>32</v>
      </c>
      <c r="J12" t="s">
        <v>33</v>
      </c>
      <c r="K12" s="6" t="s">
        <v>27</v>
      </c>
    </row>
    <row r="13" spans="1:11" x14ac:dyDescent="0.35">
      <c r="A13" s="5">
        <v>12</v>
      </c>
      <c r="B13" t="s">
        <v>11</v>
      </c>
      <c r="C13" t="s">
        <v>12</v>
      </c>
      <c r="D13" t="s">
        <v>22</v>
      </c>
      <c r="E13" t="s">
        <v>14</v>
      </c>
      <c r="F13" t="s">
        <v>15</v>
      </c>
      <c r="G13" t="s">
        <v>16</v>
      </c>
      <c r="H13" t="s">
        <v>25</v>
      </c>
      <c r="I13" t="s">
        <v>18</v>
      </c>
      <c r="J13" t="s">
        <v>19</v>
      </c>
      <c r="K13" s="6" t="s">
        <v>20</v>
      </c>
    </row>
    <row r="14" spans="1:11" x14ac:dyDescent="0.35">
      <c r="A14" s="5">
        <v>13</v>
      </c>
      <c r="B14" t="s">
        <v>28</v>
      </c>
      <c r="C14" t="s">
        <v>15</v>
      </c>
      <c r="D14" t="s">
        <v>29</v>
      </c>
      <c r="E14" t="s">
        <v>36</v>
      </c>
      <c r="F14" t="s">
        <v>12</v>
      </c>
      <c r="G14" t="s">
        <v>24</v>
      </c>
      <c r="H14" t="s">
        <v>37</v>
      </c>
      <c r="I14" t="s">
        <v>32</v>
      </c>
      <c r="J14" t="s">
        <v>33</v>
      </c>
      <c r="K14" s="6" t="s">
        <v>27</v>
      </c>
    </row>
    <row r="15" spans="1:11" x14ac:dyDescent="0.35">
      <c r="A15" s="5">
        <v>14</v>
      </c>
      <c r="B15" t="s">
        <v>34</v>
      </c>
      <c r="C15" t="s">
        <v>21</v>
      </c>
      <c r="D15" t="s">
        <v>22</v>
      </c>
      <c r="E15" t="s">
        <v>30</v>
      </c>
      <c r="F15" t="s">
        <v>21</v>
      </c>
      <c r="G15" t="s">
        <v>24</v>
      </c>
      <c r="H15" t="s">
        <v>25</v>
      </c>
      <c r="I15" t="s">
        <v>21</v>
      </c>
      <c r="J15" t="s">
        <v>26</v>
      </c>
      <c r="K15" s="6" t="s">
        <v>27</v>
      </c>
    </row>
    <row r="16" spans="1:11" x14ac:dyDescent="0.35">
      <c r="A16" s="5">
        <v>15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s="6" t="s">
        <v>20</v>
      </c>
    </row>
    <row r="17" spans="1:11" x14ac:dyDescent="0.35">
      <c r="A17" s="5">
        <v>16</v>
      </c>
      <c r="B17" t="s">
        <v>35</v>
      </c>
      <c r="C17" t="s">
        <v>15</v>
      </c>
      <c r="D17" t="s">
        <v>22</v>
      </c>
      <c r="E17" t="s">
        <v>30</v>
      </c>
      <c r="F17" t="s">
        <v>12</v>
      </c>
      <c r="G17" t="s">
        <v>24</v>
      </c>
      <c r="H17" t="s">
        <v>31</v>
      </c>
      <c r="I17" t="s">
        <v>32</v>
      </c>
      <c r="J17" t="s">
        <v>33</v>
      </c>
      <c r="K17" s="6" t="s">
        <v>27</v>
      </c>
    </row>
    <row r="18" spans="1:11" x14ac:dyDescent="0.35">
      <c r="A18" s="5">
        <v>17</v>
      </c>
      <c r="B18" t="s">
        <v>34</v>
      </c>
      <c r="C18" t="s">
        <v>21</v>
      </c>
      <c r="D18" t="s">
        <v>22</v>
      </c>
      <c r="E18" t="s">
        <v>23</v>
      </c>
      <c r="F18" t="s">
        <v>21</v>
      </c>
      <c r="G18" t="s">
        <v>16</v>
      </c>
      <c r="H18" t="s">
        <v>25</v>
      </c>
      <c r="I18" t="s">
        <v>21</v>
      </c>
      <c r="J18" t="s">
        <v>19</v>
      </c>
      <c r="K18" s="6" t="s">
        <v>20</v>
      </c>
    </row>
    <row r="19" spans="1:11" x14ac:dyDescent="0.35">
      <c r="A19" s="5">
        <v>18</v>
      </c>
      <c r="B19" t="s">
        <v>28</v>
      </c>
      <c r="C19" t="s">
        <v>15</v>
      </c>
      <c r="D19" t="s">
        <v>29</v>
      </c>
      <c r="E19" t="s">
        <v>36</v>
      </c>
      <c r="F19" t="s">
        <v>12</v>
      </c>
      <c r="G19" t="s">
        <v>24</v>
      </c>
      <c r="H19" t="s">
        <v>31</v>
      </c>
      <c r="I19" t="s">
        <v>32</v>
      </c>
      <c r="J19" t="s">
        <v>33</v>
      </c>
      <c r="K19" s="6" t="s">
        <v>27</v>
      </c>
    </row>
    <row r="20" spans="1:11" x14ac:dyDescent="0.35">
      <c r="A20" s="5">
        <v>19</v>
      </c>
      <c r="B20" t="s">
        <v>11</v>
      </c>
      <c r="C20" t="s">
        <v>12</v>
      </c>
      <c r="D20" t="s">
        <v>22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s="6" t="s">
        <v>20</v>
      </c>
    </row>
    <row r="21" spans="1:11" x14ac:dyDescent="0.35">
      <c r="A21" s="7">
        <v>20</v>
      </c>
      <c r="B21" s="1" t="s">
        <v>28</v>
      </c>
      <c r="C21" s="1" t="s">
        <v>15</v>
      </c>
      <c r="D21" s="1" t="s">
        <v>22</v>
      </c>
      <c r="E21" s="1" t="s">
        <v>30</v>
      </c>
      <c r="F21" s="1" t="s">
        <v>21</v>
      </c>
      <c r="G21" s="1" t="s">
        <v>24</v>
      </c>
      <c r="H21" s="1" t="s">
        <v>37</v>
      </c>
      <c r="I21" s="1" t="s">
        <v>32</v>
      </c>
      <c r="J21" s="1" t="s">
        <v>33</v>
      </c>
      <c r="K21" s="8" t="s">
        <v>27</v>
      </c>
    </row>
    <row r="25" spans="1:11" x14ac:dyDescent="0.35">
      <c r="A25" s="1" t="s">
        <v>41</v>
      </c>
      <c r="B25" s="1" t="s">
        <v>11</v>
      </c>
      <c r="C25" s="1"/>
      <c r="D25" s="1" t="s">
        <v>22</v>
      </c>
      <c r="E25" s="1"/>
      <c r="F25" s="1"/>
      <c r="G25" s="1"/>
      <c r="H25" s="1"/>
      <c r="I25" s="1"/>
      <c r="J25" s="1"/>
      <c r="K25" s="1" t="s">
        <v>20</v>
      </c>
    </row>
    <row r="26" spans="1:11" x14ac:dyDescent="0.35">
      <c r="A26" t="s">
        <v>42</v>
      </c>
      <c r="B26">
        <v>1</v>
      </c>
    </row>
    <row r="27" spans="1:11" x14ac:dyDescent="0.35">
      <c r="A27" t="s">
        <v>43</v>
      </c>
      <c r="B27">
        <v>3</v>
      </c>
    </row>
    <row r="28" spans="1:11" x14ac:dyDescent="0.35">
      <c r="A28" t="s">
        <v>44</v>
      </c>
      <c r="B28">
        <v>4</v>
      </c>
    </row>
    <row r="29" spans="1:11" x14ac:dyDescent="0.35">
      <c r="A29" t="s">
        <v>45</v>
      </c>
      <c r="B29">
        <f>SUM(B26:B27)/COUNT($A$2:$A$21)</f>
        <v>0.2</v>
      </c>
      <c r="C29">
        <f>B29*100</f>
        <v>20</v>
      </c>
    </row>
    <row r="30" spans="1:11" x14ac:dyDescent="0.35">
      <c r="A30" t="s">
        <v>46</v>
      </c>
      <c r="B30">
        <f>B27/B28</f>
        <v>0.75</v>
      </c>
      <c r="C30">
        <f>B30*100</f>
        <v>75</v>
      </c>
    </row>
    <row r="31" spans="1:11" x14ac:dyDescent="0.35">
      <c r="A31" t="s">
        <v>47</v>
      </c>
      <c r="B31" t="s">
        <v>48</v>
      </c>
    </row>
    <row r="34" spans="1:11" x14ac:dyDescent="0.35">
      <c r="A34" s="1" t="s">
        <v>49</v>
      </c>
      <c r="B34" s="1" t="s">
        <v>35</v>
      </c>
      <c r="C34" s="1"/>
      <c r="D34" s="1"/>
      <c r="E34" s="1"/>
      <c r="F34" s="1"/>
      <c r="G34" s="1"/>
      <c r="H34" s="1"/>
      <c r="I34" s="1"/>
      <c r="J34" s="1" t="s">
        <v>33</v>
      </c>
      <c r="K34" s="1" t="s">
        <v>27</v>
      </c>
    </row>
    <row r="35" spans="1:11" x14ac:dyDescent="0.35">
      <c r="A35" t="s">
        <v>42</v>
      </c>
      <c r="B35">
        <v>3</v>
      </c>
    </row>
    <row r="36" spans="1:11" x14ac:dyDescent="0.35">
      <c r="A36" t="s">
        <v>43</v>
      </c>
      <c r="B36">
        <v>0</v>
      </c>
    </row>
    <row r="37" spans="1:11" x14ac:dyDescent="0.35">
      <c r="A37" t="s">
        <v>44</v>
      </c>
      <c r="B37">
        <v>3</v>
      </c>
    </row>
    <row r="38" spans="1:11" x14ac:dyDescent="0.35">
      <c r="A38" t="s">
        <v>45</v>
      </c>
      <c r="B38">
        <f>SUM(B35:B36)/COUNT($A$2:$A$21)</f>
        <v>0.15</v>
      </c>
      <c r="C38">
        <f>B38*100</f>
        <v>15</v>
      </c>
    </row>
    <row r="39" spans="1:11" x14ac:dyDescent="0.35">
      <c r="A39" t="s">
        <v>46</v>
      </c>
      <c r="B39">
        <f>B35/B37</f>
        <v>1</v>
      </c>
      <c r="C39">
        <f>B39*100</f>
        <v>100</v>
      </c>
    </row>
    <row r="40" spans="1:11" x14ac:dyDescent="0.35">
      <c r="A40" t="s">
        <v>47</v>
      </c>
      <c r="B40" t="s">
        <v>53</v>
      </c>
    </row>
    <row r="43" spans="1:11" x14ac:dyDescent="0.35">
      <c r="A43" s="1" t="s">
        <v>50</v>
      </c>
      <c r="B43" s="1"/>
      <c r="C43" s="1"/>
      <c r="D43" s="1"/>
      <c r="E43" s="1"/>
      <c r="F43" s="1"/>
      <c r="G43" s="1" t="s">
        <v>24</v>
      </c>
      <c r="H43" s="1"/>
      <c r="I43" s="1" t="s">
        <v>21</v>
      </c>
      <c r="J43" s="1"/>
      <c r="K43" s="1" t="s">
        <v>27</v>
      </c>
    </row>
    <row r="44" spans="1:11" x14ac:dyDescent="0.35">
      <c r="A44" t="s">
        <v>42</v>
      </c>
      <c r="B44">
        <v>4</v>
      </c>
    </row>
    <row r="45" spans="1:11" x14ac:dyDescent="0.35">
      <c r="A45" t="s">
        <v>43</v>
      </c>
      <c r="B45">
        <v>0</v>
      </c>
    </row>
    <row r="46" spans="1:11" x14ac:dyDescent="0.35">
      <c r="A46" t="s">
        <v>44</v>
      </c>
      <c r="B46">
        <v>4</v>
      </c>
    </row>
    <row r="47" spans="1:11" x14ac:dyDescent="0.35">
      <c r="A47" t="s">
        <v>45</v>
      </c>
      <c r="B47">
        <f>SUM(B44:B45)/COUNT($A$2:$A$21)</f>
        <v>0.2</v>
      </c>
      <c r="C47">
        <f>B47*100</f>
        <v>20</v>
      </c>
    </row>
    <row r="48" spans="1:11" x14ac:dyDescent="0.35">
      <c r="A48" t="s">
        <v>46</v>
      </c>
      <c r="B48">
        <f>B44/B46</f>
        <v>1</v>
      </c>
      <c r="C48">
        <f>B48*100</f>
        <v>100</v>
      </c>
    </row>
    <row r="49" spans="1:11" x14ac:dyDescent="0.35">
      <c r="A49" t="s">
        <v>47</v>
      </c>
      <c r="B49" t="s">
        <v>54</v>
      </c>
    </row>
    <row r="52" spans="1:11" x14ac:dyDescent="0.35">
      <c r="A52" s="1" t="s">
        <v>51</v>
      </c>
      <c r="B52" s="1"/>
      <c r="C52" s="1" t="s">
        <v>15</v>
      </c>
      <c r="D52" s="1" t="s">
        <v>52</v>
      </c>
      <c r="E52" s="1"/>
      <c r="F52" s="1"/>
      <c r="G52" s="1"/>
      <c r="H52" s="1"/>
      <c r="I52" s="1"/>
      <c r="J52" s="1"/>
      <c r="K52" s="1" t="s">
        <v>27</v>
      </c>
    </row>
    <row r="53" spans="1:11" x14ac:dyDescent="0.35">
      <c r="A53" t="s">
        <v>42</v>
      </c>
      <c r="B53">
        <v>3</v>
      </c>
    </row>
    <row r="54" spans="1:11" x14ac:dyDescent="0.35">
      <c r="A54" t="s">
        <v>43</v>
      </c>
      <c r="B54">
        <v>0</v>
      </c>
    </row>
    <row r="55" spans="1:11" x14ac:dyDescent="0.35">
      <c r="A55" t="s">
        <v>44</v>
      </c>
      <c r="B55">
        <v>3</v>
      </c>
    </row>
    <row r="56" spans="1:11" x14ac:dyDescent="0.35">
      <c r="A56" t="s">
        <v>45</v>
      </c>
      <c r="B56">
        <f>SUM(B53:B54)/COUNT($A$2:$A$21)</f>
        <v>0.15</v>
      </c>
      <c r="C56">
        <f>B56*100</f>
        <v>15</v>
      </c>
    </row>
    <row r="57" spans="1:11" x14ac:dyDescent="0.35">
      <c r="A57" t="s">
        <v>46</v>
      </c>
      <c r="B57">
        <f>B53/B55</f>
        <v>1</v>
      </c>
      <c r="C57">
        <f>B57*100</f>
        <v>100</v>
      </c>
    </row>
    <row r="58" spans="1:11" x14ac:dyDescent="0.35">
      <c r="A58" t="s">
        <v>47</v>
      </c>
      <c r="B5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A6BD-DA41-43D7-A489-A6BEFB48EE4B}">
  <dimension ref="A1:M122"/>
  <sheetViews>
    <sheetView tabSelected="1" zoomScale="130" zoomScaleNormal="130" workbookViewId="0">
      <selection activeCell="C26" sqref="C26"/>
    </sheetView>
  </sheetViews>
  <sheetFormatPr defaultRowHeight="14.5" x14ac:dyDescent="0.35"/>
  <sheetData>
    <row r="1" spans="1:1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35">
      <c r="A2" s="5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6" t="s">
        <v>20</v>
      </c>
    </row>
    <row r="3" spans="1:11" x14ac:dyDescent="0.35">
      <c r="A3" s="5">
        <v>2</v>
      </c>
      <c r="B3" t="s">
        <v>11</v>
      </c>
      <c r="C3" t="s">
        <v>21</v>
      </c>
      <c r="D3" t="s">
        <v>22</v>
      </c>
      <c r="E3" t="s">
        <v>23</v>
      </c>
      <c r="F3" t="s">
        <v>12</v>
      </c>
      <c r="G3" t="s">
        <v>24</v>
      </c>
      <c r="H3" t="s">
        <v>25</v>
      </c>
      <c r="I3" t="s">
        <v>21</v>
      </c>
      <c r="J3" t="s">
        <v>26</v>
      </c>
      <c r="K3" s="6" t="s">
        <v>27</v>
      </c>
    </row>
    <row r="4" spans="1:11" s="11" customFormat="1" x14ac:dyDescent="0.35">
      <c r="A4" s="10">
        <v>3</v>
      </c>
      <c r="B4" s="11" t="s">
        <v>28</v>
      </c>
      <c r="C4" s="11" t="s">
        <v>15</v>
      </c>
      <c r="D4" s="11" t="s">
        <v>29</v>
      </c>
      <c r="E4" s="11" t="s">
        <v>30</v>
      </c>
      <c r="F4" s="11" t="s">
        <v>21</v>
      </c>
      <c r="G4" s="11" t="s">
        <v>24</v>
      </c>
      <c r="H4" s="11" t="s">
        <v>31</v>
      </c>
      <c r="I4" s="11" t="s">
        <v>32</v>
      </c>
      <c r="J4" s="11" t="s">
        <v>33</v>
      </c>
      <c r="K4" s="12" t="s">
        <v>27</v>
      </c>
    </row>
    <row r="5" spans="1:11" x14ac:dyDescent="0.35">
      <c r="A5" s="5">
        <v>4</v>
      </c>
      <c r="B5" t="s">
        <v>34</v>
      </c>
      <c r="C5" t="s">
        <v>21</v>
      </c>
      <c r="D5" t="s">
        <v>22</v>
      </c>
      <c r="E5" t="s">
        <v>14</v>
      </c>
      <c r="F5" t="s">
        <v>15</v>
      </c>
      <c r="G5" t="s">
        <v>16</v>
      </c>
      <c r="H5" t="s">
        <v>31</v>
      </c>
      <c r="I5" t="s">
        <v>18</v>
      </c>
      <c r="J5" t="s">
        <v>19</v>
      </c>
      <c r="K5" s="6" t="s">
        <v>20</v>
      </c>
    </row>
    <row r="6" spans="1:11" s="11" customFormat="1" x14ac:dyDescent="0.35">
      <c r="A6" s="10">
        <v>5</v>
      </c>
      <c r="B6" s="11" t="s">
        <v>35</v>
      </c>
      <c r="C6" s="11" t="s">
        <v>15</v>
      </c>
      <c r="D6" s="11" t="s">
        <v>22</v>
      </c>
      <c r="E6" s="11" t="s">
        <v>36</v>
      </c>
      <c r="F6" s="11" t="s">
        <v>12</v>
      </c>
      <c r="G6" s="11" t="s">
        <v>24</v>
      </c>
      <c r="H6" s="11" t="s">
        <v>37</v>
      </c>
      <c r="I6" s="11" t="s">
        <v>32</v>
      </c>
      <c r="J6" s="11" t="s">
        <v>33</v>
      </c>
      <c r="K6" s="12" t="s">
        <v>27</v>
      </c>
    </row>
    <row r="7" spans="1:11" x14ac:dyDescent="0.35">
      <c r="A7" s="5">
        <v>6</v>
      </c>
      <c r="B7" t="s">
        <v>11</v>
      </c>
      <c r="C7" t="s">
        <v>12</v>
      </c>
      <c r="D7" t="s">
        <v>22</v>
      </c>
      <c r="E7" t="s">
        <v>23</v>
      </c>
      <c r="F7" t="s">
        <v>21</v>
      </c>
      <c r="G7" t="s">
        <v>16</v>
      </c>
      <c r="H7" t="s">
        <v>25</v>
      </c>
      <c r="I7" t="s">
        <v>18</v>
      </c>
      <c r="J7" t="s">
        <v>19</v>
      </c>
      <c r="K7" s="6" t="s">
        <v>20</v>
      </c>
    </row>
    <row r="8" spans="1:11" x14ac:dyDescent="0.35">
      <c r="A8" s="5">
        <v>7</v>
      </c>
      <c r="B8" t="s">
        <v>28</v>
      </c>
      <c r="C8" t="s">
        <v>21</v>
      </c>
      <c r="D8" t="s">
        <v>22</v>
      </c>
      <c r="E8" t="s">
        <v>30</v>
      </c>
      <c r="F8" t="s">
        <v>12</v>
      </c>
      <c r="G8" t="s">
        <v>24</v>
      </c>
      <c r="H8" t="s">
        <v>31</v>
      </c>
      <c r="I8" t="s">
        <v>21</v>
      </c>
      <c r="J8" t="s">
        <v>26</v>
      </c>
      <c r="K8" s="6" t="s">
        <v>27</v>
      </c>
    </row>
    <row r="9" spans="1:11" x14ac:dyDescent="0.35">
      <c r="A9" s="5">
        <v>8</v>
      </c>
      <c r="B9" t="s">
        <v>11</v>
      </c>
      <c r="C9" t="s">
        <v>12</v>
      </c>
      <c r="D9" t="s">
        <v>38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s="6" t="s">
        <v>20</v>
      </c>
    </row>
    <row r="10" spans="1:11" x14ac:dyDescent="0.35">
      <c r="A10" s="5">
        <v>9</v>
      </c>
      <c r="B10" t="s">
        <v>34</v>
      </c>
      <c r="C10" t="s">
        <v>15</v>
      </c>
      <c r="D10" t="s">
        <v>22</v>
      </c>
      <c r="E10" t="s">
        <v>30</v>
      </c>
      <c r="F10" t="s">
        <v>21</v>
      </c>
      <c r="G10" t="s">
        <v>24</v>
      </c>
      <c r="H10" t="s">
        <v>31</v>
      </c>
      <c r="I10" t="s">
        <v>21</v>
      </c>
      <c r="J10" t="s">
        <v>39</v>
      </c>
      <c r="K10" s="6" t="s">
        <v>27</v>
      </c>
    </row>
    <row r="11" spans="1:11" s="11" customFormat="1" x14ac:dyDescent="0.35">
      <c r="A11" s="10">
        <v>10</v>
      </c>
      <c r="B11" s="11" t="s">
        <v>35</v>
      </c>
      <c r="C11" s="11" t="s">
        <v>21</v>
      </c>
      <c r="D11" s="11" t="s">
        <v>40</v>
      </c>
      <c r="E11" s="11" t="s">
        <v>23</v>
      </c>
      <c r="F11" s="11" t="s">
        <v>12</v>
      </c>
      <c r="G11" s="11" t="s">
        <v>24</v>
      </c>
      <c r="H11" s="11" t="s">
        <v>17</v>
      </c>
      <c r="I11" s="11" t="s">
        <v>18</v>
      </c>
      <c r="J11" s="11" t="s">
        <v>33</v>
      </c>
      <c r="K11" s="12" t="s">
        <v>27</v>
      </c>
    </row>
    <row r="12" spans="1:11" s="11" customFormat="1" x14ac:dyDescent="0.35">
      <c r="A12" s="10">
        <v>11</v>
      </c>
      <c r="B12" s="11" t="s">
        <v>34</v>
      </c>
      <c r="C12" s="11" t="s">
        <v>21</v>
      </c>
      <c r="D12" s="11" t="s">
        <v>22</v>
      </c>
      <c r="E12" s="11" t="s">
        <v>30</v>
      </c>
      <c r="F12" s="11" t="s">
        <v>12</v>
      </c>
      <c r="G12" s="11" t="s">
        <v>16</v>
      </c>
      <c r="H12" s="11" t="s">
        <v>31</v>
      </c>
      <c r="I12" s="11" t="s">
        <v>32</v>
      </c>
      <c r="J12" s="11" t="s">
        <v>33</v>
      </c>
      <c r="K12" s="12" t="s">
        <v>27</v>
      </c>
    </row>
    <row r="13" spans="1:11" x14ac:dyDescent="0.35">
      <c r="A13" s="5">
        <v>12</v>
      </c>
      <c r="B13" t="s">
        <v>11</v>
      </c>
      <c r="C13" t="s">
        <v>12</v>
      </c>
      <c r="D13" t="s">
        <v>22</v>
      </c>
      <c r="E13" t="s">
        <v>14</v>
      </c>
      <c r="F13" t="s">
        <v>15</v>
      </c>
      <c r="G13" t="s">
        <v>16</v>
      </c>
      <c r="H13" t="s">
        <v>25</v>
      </c>
      <c r="I13" t="s">
        <v>18</v>
      </c>
      <c r="J13" t="s">
        <v>19</v>
      </c>
      <c r="K13" s="6" t="s">
        <v>20</v>
      </c>
    </row>
    <row r="14" spans="1:11" s="11" customFormat="1" x14ac:dyDescent="0.35">
      <c r="A14" s="10">
        <v>13</v>
      </c>
      <c r="B14" s="11" t="s">
        <v>28</v>
      </c>
      <c r="C14" s="11" t="s">
        <v>15</v>
      </c>
      <c r="D14" s="11" t="s">
        <v>29</v>
      </c>
      <c r="E14" s="11" t="s">
        <v>36</v>
      </c>
      <c r="F14" s="11" t="s">
        <v>12</v>
      </c>
      <c r="G14" s="11" t="s">
        <v>24</v>
      </c>
      <c r="H14" s="11" t="s">
        <v>37</v>
      </c>
      <c r="I14" s="11" t="s">
        <v>32</v>
      </c>
      <c r="J14" s="11" t="s">
        <v>33</v>
      </c>
      <c r="K14" s="12" t="s">
        <v>27</v>
      </c>
    </row>
    <row r="15" spans="1:11" x14ac:dyDescent="0.35">
      <c r="A15" s="5">
        <v>14</v>
      </c>
      <c r="B15" t="s">
        <v>34</v>
      </c>
      <c r="C15" t="s">
        <v>21</v>
      </c>
      <c r="D15" t="s">
        <v>22</v>
      </c>
      <c r="E15" t="s">
        <v>30</v>
      </c>
      <c r="F15" t="s">
        <v>21</v>
      </c>
      <c r="G15" t="s">
        <v>24</v>
      </c>
      <c r="H15" t="s">
        <v>25</v>
      </c>
      <c r="I15" t="s">
        <v>21</v>
      </c>
      <c r="J15" t="s">
        <v>26</v>
      </c>
      <c r="K15" s="6" t="s">
        <v>27</v>
      </c>
    </row>
    <row r="16" spans="1:11" x14ac:dyDescent="0.35">
      <c r="A16" s="5">
        <v>15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s="6" t="s">
        <v>20</v>
      </c>
    </row>
    <row r="17" spans="1:13" s="11" customFormat="1" x14ac:dyDescent="0.35">
      <c r="A17" s="10">
        <v>16</v>
      </c>
      <c r="B17" s="11" t="s">
        <v>35</v>
      </c>
      <c r="C17" s="11" t="s">
        <v>15</v>
      </c>
      <c r="D17" s="11" t="s">
        <v>22</v>
      </c>
      <c r="E17" s="11" t="s">
        <v>30</v>
      </c>
      <c r="F17" s="11" t="s">
        <v>12</v>
      </c>
      <c r="G17" s="11" t="s">
        <v>24</v>
      </c>
      <c r="H17" s="11" t="s">
        <v>31</v>
      </c>
      <c r="I17" s="11" t="s">
        <v>32</v>
      </c>
      <c r="J17" s="11" t="s">
        <v>33</v>
      </c>
      <c r="K17" s="12" t="s">
        <v>27</v>
      </c>
    </row>
    <row r="18" spans="1:13" x14ac:dyDescent="0.35">
      <c r="A18" s="5">
        <v>17</v>
      </c>
      <c r="B18" t="s">
        <v>34</v>
      </c>
      <c r="C18" t="s">
        <v>21</v>
      </c>
      <c r="D18" t="s">
        <v>22</v>
      </c>
      <c r="E18" t="s">
        <v>23</v>
      </c>
      <c r="F18" t="s">
        <v>21</v>
      </c>
      <c r="G18" t="s">
        <v>16</v>
      </c>
      <c r="H18" t="s">
        <v>25</v>
      </c>
      <c r="I18" t="s">
        <v>21</v>
      </c>
      <c r="J18" t="s">
        <v>19</v>
      </c>
      <c r="K18" s="6" t="s">
        <v>20</v>
      </c>
    </row>
    <row r="19" spans="1:13" s="11" customFormat="1" x14ac:dyDescent="0.35">
      <c r="A19" s="10">
        <v>18</v>
      </c>
      <c r="B19" s="11" t="s">
        <v>28</v>
      </c>
      <c r="C19" s="11" t="s">
        <v>15</v>
      </c>
      <c r="D19" s="11" t="s">
        <v>29</v>
      </c>
      <c r="E19" s="11" t="s">
        <v>36</v>
      </c>
      <c r="F19" s="11" t="s">
        <v>12</v>
      </c>
      <c r="G19" s="11" t="s">
        <v>24</v>
      </c>
      <c r="H19" s="11" t="s">
        <v>31</v>
      </c>
      <c r="I19" s="11" t="s">
        <v>32</v>
      </c>
      <c r="J19" s="11" t="s">
        <v>33</v>
      </c>
      <c r="K19" s="12" t="s">
        <v>27</v>
      </c>
      <c r="L19" s="11" t="s">
        <v>27</v>
      </c>
      <c r="M19" s="11">
        <v>12</v>
      </c>
    </row>
    <row r="20" spans="1:13" x14ac:dyDescent="0.35">
      <c r="A20" s="5">
        <v>19</v>
      </c>
      <c r="B20" t="s">
        <v>11</v>
      </c>
      <c r="C20" t="s">
        <v>12</v>
      </c>
      <c r="D20" t="s">
        <v>22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s="6" t="s">
        <v>20</v>
      </c>
      <c r="L20" s="16" t="s">
        <v>20</v>
      </c>
      <c r="M20">
        <v>8</v>
      </c>
    </row>
    <row r="21" spans="1:13" s="11" customFormat="1" x14ac:dyDescent="0.35">
      <c r="A21" s="13">
        <v>20</v>
      </c>
      <c r="B21" s="14" t="s">
        <v>28</v>
      </c>
      <c r="C21" s="14" t="s">
        <v>15</v>
      </c>
      <c r="D21" s="14" t="s">
        <v>22</v>
      </c>
      <c r="E21" s="14" t="s">
        <v>30</v>
      </c>
      <c r="F21" s="14" t="s">
        <v>21</v>
      </c>
      <c r="G21" s="14" t="s">
        <v>24</v>
      </c>
      <c r="H21" s="14" t="s">
        <v>37</v>
      </c>
      <c r="I21" s="14" t="s">
        <v>32</v>
      </c>
      <c r="J21" s="14" t="s">
        <v>33</v>
      </c>
      <c r="K21" s="15" t="s">
        <v>27</v>
      </c>
      <c r="L21" s="11" t="s">
        <v>57</v>
      </c>
      <c r="M21" s="11">
        <v>20</v>
      </c>
    </row>
    <row r="24" spans="1:13" x14ac:dyDescent="0.35">
      <c r="A24" s="9" t="s">
        <v>56</v>
      </c>
    </row>
    <row r="26" spans="1:13" x14ac:dyDescent="0.35">
      <c r="A26" s="9"/>
    </row>
    <row r="27" spans="1:13" x14ac:dyDescent="0.35">
      <c r="A27" s="1" t="s">
        <v>41</v>
      </c>
      <c r="B27" s="1"/>
      <c r="C27" s="1"/>
      <c r="D27" s="1"/>
      <c r="E27" s="1"/>
      <c r="F27" s="1"/>
      <c r="G27" s="1"/>
      <c r="H27" s="1"/>
      <c r="I27" s="1"/>
      <c r="J27" s="1" t="s">
        <v>33</v>
      </c>
      <c r="K27" s="1" t="s">
        <v>27</v>
      </c>
    </row>
    <row r="28" spans="1:13" x14ac:dyDescent="0.35">
      <c r="A28" t="s">
        <v>42</v>
      </c>
      <c r="B28">
        <v>8</v>
      </c>
    </row>
    <row r="29" spans="1:13" x14ac:dyDescent="0.35">
      <c r="A29" t="s">
        <v>43</v>
      </c>
      <c r="B29">
        <v>0</v>
      </c>
    </row>
    <row r="30" spans="1:13" x14ac:dyDescent="0.35">
      <c r="A30" t="s">
        <v>44</v>
      </c>
      <c r="B30">
        <f>SUM(B28:B29)</f>
        <v>8</v>
      </c>
    </row>
    <row r="31" spans="1:13" x14ac:dyDescent="0.35">
      <c r="A31" t="s">
        <v>45</v>
      </c>
      <c r="B31">
        <f>B30/M19</f>
        <v>0.66666666666666663</v>
      </c>
      <c r="C31">
        <f>B31*100</f>
        <v>66.666666666666657</v>
      </c>
    </row>
    <row r="32" spans="1:13" x14ac:dyDescent="0.35">
      <c r="A32" t="s">
        <v>46</v>
      </c>
      <c r="B32">
        <f>B28/B30</f>
        <v>1</v>
      </c>
      <c r="C32">
        <f>B32*100</f>
        <v>100</v>
      </c>
    </row>
    <row r="33" spans="1:13" x14ac:dyDescent="0.35">
      <c r="A33" t="s">
        <v>47</v>
      </c>
      <c r="B33" t="s">
        <v>58</v>
      </c>
    </row>
    <row r="36" spans="1:13" s="17" customFormat="1" x14ac:dyDescent="0.35"/>
    <row r="37" spans="1:13" x14ac:dyDescent="0.35">
      <c r="A37" s="2" t="s">
        <v>0</v>
      </c>
      <c r="B37" s="3" t="s">
        <v>1</v>
      </c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3" t="s">
        <v>8</v>
      </c>
      <c r="J37" s="3" t="s">
        <v>9</v>
      </c>
      <c r="K37" s="4" t="s">
        <v>10</v>
      </c>
    </row>
    <row r="38" spans="1:13" x14ac:dyDescent="0.35">
      <c r="A38" s="5">
        <v>1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  <c r="K38" s="6" t="s">
        <v>20</v>
      </c>
    </row>
    <row r="39" spans="1:13" x14ac:dyDescent="0.35">
      <c r="A39" s="5">
        <v>2</v>
      </c>
      <c r="B39" t="s">
        <v>11</v>
      </c>
      <c r="C39" t="s">
        <v>21</v>
      </c>
      <c r="D39" t="s">
        <v>22</v>
      </c>
      <c r="E39" t="s">
        <v>23</v>
      </c>
      <c r="F39" t="s">
        <v>12</v>
      </c>
      <c r="G39" t="s">
        <v>24</v>
      </c>
      <c r="H39" t="s">
        <v>25</v>
      </c>
      <c r="I39" t="s">
        <v>21</v>
      </c>
      <c r="J39" t="s">
        <v>26</v>
      </c>
      <c r="K39" s="6" t="s">
        <v>27</v>
      </c>
    </row>
    <row r="40" spans="1:13" x14ac:dyDescent="0.35">
      <c r="A40" s="5">
        <v>4</v>
      </c>
      <c r="B40" t="s">
        <v>34</v>
      </c>
      <c r="C40" t="s">
        <v>21</v>
      </c>
      <c r="D40" t="s">
        <v>22</v>
      </c>
      <c r="E40" t="s">
        <v>14</v>
      </c>
      <c r="F40" t="s">
        <v>15</v>
      </c>
      <c r="G40" t="s">
        <v>16</v>
      </c>
      <c r="H40" t="s">
        <v>31</v>
      </c>
      <c r="I40" t="s">
        <v>18</v>
      </c>
      <c r="J40" t="s">
        <v>19</v>
      </c>
      <c r="K40" s="6" t="s">
        <v>20</v>
      </c>
    </row>
    <row r="41" spans="1:13" x14ac:dyDescent="0.35">
      <c r="A41" s="5">
        <v>6</v>
      </c>
      <c r="B41" t="s">
        <v>11</v>
      </c>
      <c r="C41" t="s">
        <v>12</v>
      </c>
      <c r="D41" t="s">
        <v>22</v>
      </c>
      <c r="E41" t="s">
        <v>23</v>
      </c>
      <c r="F41" t="s">
        <v>21</v>
      </c>
      <c r="G41" t="s">
        <v>16</v>
      </c>
      <c r="H41" t="s">
        <v>25</v>
      </c>
      <c r="I41" t="s">
        <v>18</v>
      </c>
      <c r="J41" t="s">
        <v>19</v>
      </c>
      <c r="K41" s="6" t="s">
        <v>20</v>
      </c>
    </row>
    <row r="42" spans="1:13" s="19" customFormat="1" x14ac:dyDescent="0.35">
      <c r="A42" s="18">
        <v>7</v>
      </c>
      <c r="B42" s="19" t="s">
        <v>28</v>
      </c>
      <c r="C42" s="19" t="s">
        <v>21</v>
      </c>
      <c r="D42" s="19" t="s">
        <v>22</v>
      </c>
      <c r="E42" s="19" t="s">
        <v>30</v>
      </c>
      <c r="F42" s="19" t="s">
        <v>12</v>
      </c>
      <c r="G42" s="19" t="s">
        <v>24</v>
      </c>
      <c r="H42" s="19" t="s">
        <v>31</v>
      </c>
      <c r="I42" s="19" t="s">
        <v>21</v>
      </c>
      <c r="J42" s="19" t="s">
        <v>26</v>
      </c>
      <c r="K42" s="20" t="s">
        <v>27</v>
      </c>
    </row>
    <row r="43" spans="1:13" x14ac:dyDescent="0.35">
      <c r="A43" s="5">
        <v>8</v>
      </c>
      <c r="B43" t="s">
        <v>11</v>
      </c>
      <c r="C43" t="s">
        <v>12</v>
      </c>
      <c r="D43" t="s">
        <v>38</v>
      </c>
      <c r="E43" t="s">
        <v>14</v>
      </c>
      <c r="F43" t="s">
        <v>15</v>
      </c>
      <c r="G43" t="s">
        <v>16</v>
      </c>
      <c r="H43" t="s">
        <v>17</v>
      </c>
      <c r="I43" t="s">
        <v>18</v>
      </c>
      <c r="J43" t="s">
        <v>19</v>
      </c>
      <c r="K43" s="6" t="s">
        <v>20</v>
      </c>
    </row>
    <row r="44" spans="1:13" x14ac:dyDescent="0.35">
      <c r="A44" s="5">
        <v>9</v>
      </c>
      <c r="B44" t="s">
        <v>34</v>
      </c>
      <c r="C44" t="s">
        <v>15</v>
      </c>
      <c r="D44" t="s">
        <v>22</v>
      </c>
      <c r="E44" t="s">
        <v>30</v>
      </c>
      <c r="F44" t="s">
        <v>21</v>
      </c>
      <c r="G44" t="s">
        <v>24</v>
      </c>
      <c r="H44" t="s">
        <v>31</v>
      </c>
      <c r="I44" t="s">
        <v>21</v>
      </c>
      <c r="J44" t="s">
        <v>39</v>
      </c>
      <c r="K44" s="6" t="s">
        <v>27</v>
      </c>
    </row>
    <row r="45" spans="1:13" x14ac:dyDescent="0.35">
      <c r="A45" s="5">
        <v>12</v>
      </c>
      <c r="B45" t="s">
        <v>11</v>
      </c>
      <c r="C45" t="s">
        <v>12</v>
      </c>
      <c r="D45" t="s">
        <v>22</v>
      </c>
      <c r="E45" t="s">
        <v>14</v>
      </c>
      <c r="F45" t="s">
        <v>15</v>
      </c>
      <c r="G45" t="s">
        <v>16</v>
      </c>
      <c r="H45" t="s">
        <v>25</v>
      </c>
      <c r="I45" t="s">
        <v>18</v>
      </c>
      <c r="J45" t="s">
        <v>19</v>
      </c>
      <c r="K45" s="6" t="s">
        <v>20</v>
      </c>
    </row>
    <row r="46" spans="1:13" x14ac:dyDescent="0.35">
      <c r="A46" s="5">
        <v>14</v>
      </c>
      <c r="B46" t="s">
        <v>34</v>
      </c>
      <c r="C46" t="s">
        <v>21</v>
      </c>
      <c r="D46" t="s">
        <v>22</v>
      </c>
      <c r="E46" t="s">
        <v>30</v>
      </c>
      <c r="F46" t="s">
        <v>21</v>
      </c>
      <c r="G46" t="s">
        <v>24</v>
      </c>
      <c r="H46" t="s">
        <v>25</v>
      </c>
      <c r="I46" t="s">
        <v>21</v>
      </c>
      <c r="J46" t="s">
        <v>26</v>
      </c>
      <c r="K46" s="6" t="s">
        <v>27</v>
      </c>
    </row>
    <row r="47" spans="1:13" x14ac:dyDescent="0.35">
      <c r="A47" s="5">
        <v>15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 t="s">
        <v>18</v>
      </c>
      <c r="J47" t="s">
        <v>19</v>
      </c>
      <c r="K47" s="6" t="s">
        <v>20</v>
      </c>
      <c r="L47" s="16" t="s">
        <v>27</v>
      </c>
      <c r="M47">
        <v>4</v>
      </c>
    </row>
    <row r="48" spans="1:13" x14ac:dyDescent="0.35">
      <c r="A48" s="5">
        <v>17</v>
      </c>
      <c r="B48" t="s">
        <v>34</v>
      </c>
      <c r="C48" t="s">
        <v>21</v>
      </c>
      <c r="D48" t="s">
        <v>22</v>
      </c>
      <c r="E48" t="s">
        <v>23</v>
      </c>
      <c r="F48" t="s">
        <v>21</v>
      </c>
      <c r="G48" t="s">
        <v>16</v>
      </c>
      <c r="H48" t="s">
        <v>25</v>
      </c>
      <c r="I48" t="s">
        <v>21</v>
      </c>
      <c r="J48" t="s">
        <v>19</v>
      </c>
      <c r="K48" s="6" t="s">
        <v>20</v>
      </c>
      <c r="L48" s="16" t="s">
        <v>20</v>
      </c>
      <c r="M48">
        <v>8</v>
      </c>
    </row>
    <row r="49" spans="1:13" x14ac:dyDescent="0.35">
      <c r="A49" s="7">
        <v>19</v>
      </c>
      <c r="B49" s="1" t="s">
        <v>11</v>
      </c>
      <c r="C49" s="1" t="s">
        <v>12</v>
      </c>
      <c r="D49" s="1" t="s">
        <v>22</v>
      </c>
      <c r="E49" s="1" t="s">
        <v>14</v>
      </c>
      <c r="F49" s="1" t="s">
        <v>15</v>
      </c>
      <c r="G49" s="1" t="s">
        <v>16</v>
      </c>
      <c r="H49" s="1" t="s">
        <v>17</v>
      </c>
      <c r="I49" s="1" t="s">
        <v>18</v>
      </c>
      <c r="J49" s="1" t="s">
        <v>19</v>
      </c>
      <c r="K49" s="8" t="s">
        <v>20</v>
      </c>
      <c r="L49" s="16" t="s">
        <v>57</v>
      </c>
      <c r="M49">
        <v>12</v>
      </c>
    </row>
    <row r="52" spans="1:13" x14ac:dyDescent="0.35">
      <c r="A52" s="1" t="s">
        <v>49</v>
      </c>
      <c r="B52" s="1" t="s">
        <v>59</v>
      </c>
      <c r="C52" s="1"/>
      <c r="D52" s="1" t="s">
        <v>22</v>
      </c>
      <c r="E52" s="1"/>
      <c r="F52" s="1"/>
      <c r="G52" s="1"/>
      <c r="H52" s="1"/>
      <c r="I52" s="1"/>
      <c r="J52" s="1"/>
      <c r="K52" s="1" t="s">
        <v>27</v>
      </c>
    </row>
    <row r="53" spans="1:13" x14ac:dyDescent="0.35">
      <c r="A53" t="s">
        <v>42</v>
      </c>
      <c r="B53">
        <v>1</v>
      </c>
    </row>
    <row r="54" spans="1:13" x14ac:dyDescent="0.35">
      <c r="A54" t="s">
        <v>43</v>
      </c>
      <c r="B54">
        <v>0</v>
      </c>
    </row>
    <row r="55" spans="1:13" x14ac:dyDescent="0.35">
      <c r="A55" t="s">
        <v>44</v>
      </c>
      <c r="B55">
        <f>SUM(B53:B54)</f>
        <v>1</v>
      </c>
    </row>
    <row r="56" spans="1:13" x14ac:dyDescent="0.35">
      <c r="A56" t="s">
        <v>45</v>
      </c>
      <c r="B56">
        <f>B55/M47</f>
        <v>0.25</v>
      </c>
      <c r="C56">
        <f>B56*100</f>
        <v>25</v>
      </c>
    </row>
    <row r="57" spans="1:13" x14ac:dyDescent="0.35">
      <c r="A57" t="s">
        <v>46</v>
      </c>
      <c r="B57">
        <f>B53/B55</f>
        <v>1</v>
      </c>
      <c r="C57">
        <f>B57*100</f>
        <v>100</v>
      </c>
    </row>
    <row r="58" spans="1:13" x14ac:dyDescent="0.35">
      <c r="A58" t="s">
        <v>47</v>
      </c>
      <c r="B58">
        <v>7</v>
      </c>
    </row>
    <row r="62" spans="1:13" s="17" customFormat="1" x14ac:dyDescent="0.35"/>
    <row r="63" spans="1:13" x14ac:dyDescent="0.35">
      <c r="A63" s="2" t="s">
        <v>0</v>
      </c>
      <c r="B63" s="3" t="s">
        <v>1</v>
      </c>
      <c r="C63" s="3" t="s">
        <v>2</v>
      </c>
      <c r="D63" s="3" t="s">
        <v>3</v>
      </c>
      <c r="E63" s="3" t="s">
        <v>4</v>
      </c>
      <c r="F63" s="3" t="s">
        <v>5</v>
      </c>
      <c r="G63" s="3" t="s">
        <v>6</v>
      </c>
      <c r="H63" s="3" t="s">
        <v>7</v>
      </c>
      <c r="I63" s="3" t="s">
        <v>8</v>
      </c>
      <c r="J63" s="3" t="s">
        <v>9</v>
      </c>
      <c r="K63" s="4" t="s">
        <v>10</v>
      </c>
    </row>
    <row r="64" spans="1:13" x14ac:dyDescent="0.35">
      <c r="A64" s="5">
        <v>1</v>
      </c>
      <c r="B64" t="s">
        <v>11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  <c r="K64" s="6" t="s">
        <v>20</v>
      </c>
    </row>
    <row r="65" spans="1:13" x14ac:dyDescent="0.35">
      <c r="A65" s="5">
        <v>2</v>
      </c>
      <c r="B65" t="s">
        <v>11</v>
      </c>
      <c r="C65" t="s">
        <v>21</v>
      </c>
      <c r="D65" t="s">
        <v>22</v>
      </c>
      <c r="E65" t="s">
        <v>23</v>
      </c>
      <c r="F65" t="s">
        <v>12</v>
      </c>
      <c r="G65" t="s">
        <v>24</v>
      </c>
      <c r="H65" t="s">
        <v>25</v>
      </c>
      <c r="I65" t="s">
        <v>21</v>
      </c>
      <c r="J65" t="s">
        <v>26</v>
      </c>
      <c r="K65" s="6" t="s">
        <v>27</v>
      </c>
    </row>
    <row r="66" spans="1:13" x14ac:dyDescent="0.35">
      <c r="A66" s="5">
        <v>4</v>
      </c>
      <c r="B66" t="s">
        <v>34</v>
      </c>
      <c r="C66" t="s">
        <v>21</v>
      </c>
      <c r="D66" t="s">
        <v>22</v>
      </c>
      <c r="E66" t="s">
        <v>14</v>
      </c>
      <c r="F66" t="s">
        <v>15</v>
      </c>
      <c r="G66" t="s">
        <v>16</v>
      </c>
      <c r="H66" t="s">
        <v>31</v>
      </c>
      <c r="I66" t="s">
        <v>18</v>
      </c>
      <c r="J66" t="s">
        <v>19</v>
      </c>
      <c r="K66" s="6" t="s">
        <v>20</v>
      </c>
    </row>
    <row r="67" spans="1:13" x14ac:dyDescent="0.35">
      <c r="A67" s="5">
        <v>6</v>
      </c>
      <c r="B67" t="s">
        <v>11</v>
      </c>
      <c r="C67" t="s">
        <v>12</v>
      </c>
      <c r="D67" t="s">
        <v>22</v>
      </c>
      <c r="E67" t="s">
        <v>23</v>
      </c>
      <c r="F67" t="s">
        <v>21</v>
      </c>
      <c r="G67" t="s">
        <v>16</v>
      </c>
      <c r="H67" t="s">
        <v>25</v>
      </c>
      <c r="I67" t="s">
        <v>18</v>
      </c>
      <c r="J67" t="s">
        <v>19</v>
      </c>
      <c r="K67" s="6" t="s">
        <v>20</v>
      </c>
    </row>
    <row r="68" spans="1:13" x14ac:dyDescent="0.35">
      <c r="A68" s="5">
        <v>8</v>
      </c>
      <c r="B68" t="s">
        <v>11</v>
      </c>
      <c r="C68" t="s">
        <v>12</v>
      </c>
      <c r="D68" t="s">
        <v>38</v>
      </c>
      <c r="E68" t="s">
        <v>14</v>
      </c>
      <c r="F68" t="s">
        <v>15</v>
      </c>
      <c r="G68" t="s">
        <v>16</v>
      </c>
      <c r="H68" t="s">
        <v>17</v>
      </c>
      <c r="I68" t="s">
        <v>18</v>
      </c>
      <c r="J68" t="s">
        <v>19</v>
      </c>
      <c r="K68" s="6" t="s">
        <v>20</v>
      </c>
    </row>
    <row r="69" spans="1:13" s="19" customFormat="1" x14ac:dyDescent="0.35">
      <c r="A69" s="18">
        <v>9</v>
      </c>
      <c r="B69" s="19" t="s">
        <v>34</v>
      </c>
      <c r="C69" s="19" t="s">
        <v>15</v>
      </c>
      <c r="D69" s="19" t="s">
        <v>22</v>
      </c>
      <c r="E69" s="19" t="s">
        <v>30</v>
      </c>
      <c r="F69" s="19" t="s">
        <v>21</v>
      </c>
      <c r="G69" s="19" t="s">
        <v>24</v>
      </c>
      <c r="H69" s="19" t="s">
        <v>31</v>
      </c>
      <c r="I69" s="19" t="s">
        <v>21</v>
      </c>
      <c r="J69" s="19" t="s">
        <v>39</v>
      </c>
      <c r="K69" s="20" t="s">
        <v>27</v>
      </c>
    </row>
    <row r="70" spans="1:13" x14ac:dyDescent="0.35">
      <c r="A70" s="5">
        <v>12</v>
      </c>
      <c r="B70" t="s">
        <v>11</v>
      </c>
      <c r="C70" t="s">
        <v>12</v>
      </c>
      <c r="D70" t="s">
        <v>22</v>
      </c>
      <c r="E70" t="s">
        <v>14</v>
      </c>
      <c r="F70" t="s">
        <v>15</v>
      </c>
      <c r="G70" t="s">
        <v>16</v>
      </c>
      <c r="H70" t="s">
        <v>25</v>
      </c>
      <c r="I70" t="s">
        <v>18</v>
      </c>
      <c r="J70" t="s">
        <v>19</v>
      </c>
      <c r="K70" s="6" t="s">
        <v>20</v>
      </c>
    </row>
    <row r="71" spans="1:13" s="19" customFormat="1" x14ac:dyDescent="0.35">
      <c r="A71" s="18">
        <v>14</v>
      </c>
      <c r="B71" s="19" t="s">
        <v>34</v>
      </c>
      <c r="C71" s="19" t="s">
        <v>21</v>
      </c>
      <c r="D71" s="19" t="s">
        <v>22</v>
      </c>
      <c r="E71" s="19" t="s">
        <v>30</v>
      </c>
      <c r="F71" s="19" t="s">
        <v>21</v>
      </c>
      <c r="G71" s="19" t="s">
        <v>24</v>
      </c>
      <c r="H71" s="19" t="s">
        <v>25</v>
      </c>
      <c r="I71" s="19" t="s">
        <v>21</v>
      </c>
      <c r="J71" s="19" t="s">
        <v>26</v>
      </c>
      <c r="K71" s="20" t="s">
        <v>27</v>
      </c>
    </row>
    <row r="72" spans="1:13" x14ac:dyDescent="0.35">
      <c r="A72" s="5">
        <v>15</v>
      </c>
      <c r="B72" t="s">
        <v>11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18</v>
      </c>
      <c r="J72" t="s">
        <v>19</v>
      </c>
      <c r="K72" s="6" t="s">
        <v>20</v>
      </c>
      <c r="L72" s="16" t="s">
        <v>27</v>
      </c>
      <c r="M72">
        <v>3</v>
      </c>
    </row>
    <row r="73" spans="1:13" x14ac:dyDescent="0.35">
      <c r="A73" s="5">
        <v>17</v>
      </c>
      <c r="B73" t="s">
        <v>34</v>
      </c>
      <c r="C73" t="s">
        <v>21</v>
      </c>
      <c r="D73" t="s">
        <v>22</v>
      </c>
      <c r="E73" t="s">
        <v>23</v>
      </c>
      <c r="F73" t="s">
        <v>21</v>
      </c>
      <c r="G73" t="s">
        <v>16</v>
      </c>
      <c r="H73" t="s">
        <v>25</v>
      </c>
      <c r="I73" t="s">
        <v>21</v>
      </c>
      <c r="J73" t="s">
        <v>19</v>
      </c>
      <c r="K73" s="6" t="s">
        <v>20</v>
      </c>
      <c r="L73" s="16" t="s">
        <v>20</v>
      </c>
      <c r="M73">
        <v>8</v>
      </c>
    </row>
    <row r="74" spans="1:13" x14ac:dyDescent="0.35">
      <c r="A74" s="7">
        <v>19</v>
      </c>
      <c r="B74" s="1" t="s">
        <v>11</v>
      </c>
      <c r="C74" s="1" t="s">
        <v>12</v>
      </c>
      <c r="D74" s="1" t="s">
        <v>22</v>
      </c>
      <c r="E74" s="1" t="s">
        <v>14</v>
      </c>
      <c r="F74" s="1" t="s">
        <v>15</v>
      </c>
      <c r="G74" s="1" t="s">
        <v>16</v>
      </c>
      <c r="H74" s="1" t="s">
        <v>17</v>
      </c>
      <c r="I74" s="1" t="s">
        <v>18</v>
      </c>
      <c r="J74" s="1" t="s">
        <v>19</v>
      </c>
      <c r="K74" s="8" t="s">
        <v>20</v>
      </c>
      <c r="L74" s="16" t="s">
        <v>57</v>
      </c>
      <c r="M74">
        <v>12</v>
      </c>
    </row>
    <row r="77" spans="1:13" x14ac:dyDescent="0.35">
      <c r="A77" s="1" t="s">
        <v>50</v>
      </c>
      <c r="B77" s="1" t="s">
        <v>60</v>
      </c>
      <c r="C77" s="1"/>
      <c r="D77" s="1"/>
      <c r="E77" s="1" t="s">
        <v>30</v>
      </c>
      <c r="F77" s="1"/>
      <c r="G77" s="1"/>
      <c r="H77" s="1"/>
      <c r="I77" s="1"/>
      <c r="J77" s="1"/>
      <c r="K77" s="1" t="s">
        <v>27</v>
      </c>
    </row>
    <row r="78" spans="1:13" x14ac:dyDescent="0.35">
      <c r="A78" t="s">
        <v>42</v>
      </c>
      <c r="B78">
        <v>2</v>
      </c>
    </row>
    <row r="79" spans="1:13" x14ac:dyDescent="0.35">
      <c r="A79" t="s">
        <v>43</v>
      </c>
      <c r="B79">
        <v>0</v>
      </c>
    </row>
    <row r="80" spans="1:13" x14ac:dyDescent="0.35">
      <c r="A80" t="s">
        <v>44</v>
      </c>
      <c r="B80">
        <f>SUM(B78:B79)</f>
        <v>2</v>
      </c>
    </row>
    <row r="81" spans="1:13" x14ac:dyDescent="0.35">
      <c r="A81" t="s">
        <v>45</v>
      </c>
      <c r="B81">
        <f>B80/M72</f>
        <v>0.66666666666666663</v>
      </c>
      <c r="C81">
        <f>B81*100</f>
        <v>66.666666666666657</v>
      </c>
    </row>
    <row r="82" spans="1:13" x14ac:dyDescent="0.35">
      <c r="A82" t="s">
        <v>46</v>
      </c>
      <c r="B82">
        <f>B78/B80</f>
        <v>1</v>
      </c>
      <c r="C82">
        <f>B82*100</f>
        <v>100</v>
      </c>
    </row>
    <row r="83" spans="1:13" x14ac:dyDescent="0.35">
      <c r="A83" t="s">
        <v>47</v>
      </c>
      <c r="B83" t="s">
        <v>61</v>
      </c>
    </row>
    <row r="87" spans="1:13" s="17" customFormat="1" x14ac:dyDescent="0.35"/>
    <row r="88" spans="1:13" x14ac:dyDescent="0.35">
      <c r="A88" s="2" t="s">
        <v>0</v>
      </c>
      <c r="B88" s="3" t="s">
        <v>1</v>
      </c>
      <c r="C88" s="3" t="s">
        <v>2</v>
      </c>
      <c r="D88" s="3" t="s">
        <v>3</v>
      </c>
      <c r="E88" s="3" t="s">
        <v>4</v>
      </c>
      <c r="F88" s="3" t="s">
        <v>5</v>
      </c>
      <c r="G88" s="3" t="s">
        <v>6</v>
      </c>
      <c r="H88" s="3" t="s">
        <v>7</v>
      </c>
      <c r="I88" s="3" t="s">
        <v>8</v>
      </c>
      <c r="J88" s="3" t="s">
        <v>9</v>
      </c>
      <c r="K88" s="4" t="s">
        <v>10</v>
      </c>
    </row>
    <row r="89" spans="1:13" x14ac:dyDescent="0.35">
      <c r="A89" s="5">
        <v>1</v>
      </c>
      <c r="B89" t="s">
        <v>11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t="s">
        <v>18</v>
      </c>
      <c r="J89" t="s">
        <v>19</v>
      </c>
      <c r="K89" s="6" t="s">
        <v>20</v>
      </c>
    </row>
    <row r="90" spans="1:13" s="19" customFormat="1" x14ac:dyDescent="0.35">
      <c r="A90" s="18">
        <v>2</v>
      </c>
      <c r="B90" s="19" t="s">
        <v>11</v>
      </c>
      <c r="C90" s="19" t="s">
        <v>21</v>
      </c>
      <c r="D90" s="19" t="s">
        <v>22</v>
      </c>
      <c r="E90" s="19" t="s">
        <v>23</v>
      </c>
      <c r="F90" s="19" t="s">
        <v>12</v>
      </c>
      <c r="G90" s="19" t="s">
        <v>24</v>
      </c>
      <c r="H90" s="19" t="s">
        <v>25</v>
      </c>
      <c r="I90" s="19" t="s">
        <v>21</v>
      </c>
      <c r="J90" s="19" t="s">
        <v>26</v>
      </c>
      <c r="K90" s="20" t="s">
        <v>27</v>
      </c>
    </row>
    <row r="91" spans="1:13" x14ac:dyDescent="0.35">
      <c r="A91" s="5">
        <v>4</v>
      </c>
      <c r="B91" t="s">
        <v>34</v>
      </c>
      <c r="C91" t="s">
        <v>21</v>
      </c>
      <c r="D91" t="s">
        <v>22</v>
      </c>
      <c r="E91" t="s">
        <v>14</v>
      </c>
      <c r="F91" t="s">
        <v>15</v>
      </c>
      <c r="G91" t="s">
        <v>16</v>
      </c>
      <c r="H91" t="s">
        <v>31</v>
      </c>
      <c r="I91" t="s">
        <v>18</v>
      </c>
      <c r="J91" t="s">
        <v>19</v>
      </c>
      <c r="K91" s="6" t="s">
        <v>20</v>
      </c>
    </row>
    <row r="92" spans="1:13" x14ac:dyDescent="0.35">
      <c r="A92" s="5">
        <v>6</v>
      </c>
      <c r="B92" t="s">
        <v>11</v>
      </c>
      <c r="C92" t="s">
        <v>12</v>
      </c>
      <c r="D92" t="s">
        <v>22</v>
      </c>
      <c r="E92" t="s">
        <v>23</v>
      </c>
      <c r="F92" t="s">
        <v>21</v>
      </c>
      <c r="G92" t="s">
        <v>16</v>
      </c>
      <c r="H92" t="s">
        <v>25</v>
      </c>
      <c r="I92" t="s">
        <v>18</v>
      </c>
      <c r="J92" t="s">
        <v>19</v>
      </c>
      <c r="K92" s="6" t="s">
        <v>20</v>
      </c>
    </row>
    <row r="93" spans="1:13" x14ac:dyDescent="0.35">
      <c r="A93" s="5">
        <v>8</v>
      </c>
      <c r="B93" t="s">
        <v>11</v>
      </c>
      <c r="C93" t="s">
        <v>12</v>
      </c>
      <c r="D93" t="s">
        <v>38</v>
      </c>
      <c r="E93" t="s">
        <v>14</v>
      </c>
      <c r="F93" t="s">
        <v>15</v>
      </c>
      <c r="G93" t="s">
        <v>16</v>
      </c>
      <c r="H93" t="s">
        <v>17</v>
      </c>
      <c r="I93" t="s">
        <v>18</v>
      </c>
      <c r="J93" t="s">
        <v>19</v>
      </c>
      <c r="K93" s="6" t="s">
        <v>20</v>
      </c>
    </row>
    <row r="94" spans="1:13" x14ac:dyDescent="0.35">
      <c r="A94" s="5">
        <v>12</v>
      </c>
      <c r="B94" t="s">
        <v>11</v>
      </c>
      <c r="C94" t="s">
        <v>12</v>
      </c>
      <c r="D94" t="s">
        <v>22</v>
      </c>
      <c r="E94" t="s">
        <v>14</v>
      </c>
      <c r="F94" t="s">
        <v>15</v>
      </c>
      <c r="G94" t="s">
        <v>16</v>
      </c>
      <c r="H94" t="s">
        <v>25</v>
      </c>
      <c r="I94" t="s">
        <v>18</v>
      </c>
      <c r="J94" t="s">
        <v>19</v>
      </c>
      <c r="K94" s="6" t="s">
        <v>20</v>
      </c>
    </row>
    <row r="95" spans="1:13" x14ac:dyDescent="0.35">
      <c r="A95" s="5">
        <v>15</v>
      </c>
      <c r="B95" t="s">
        <v>11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18</v>
      </c>
      <c r="J95" t="s">
        <v>19</v>
      </c>
      <c r="K95" s="6" t="s">
        <v>20</v>
      </c>
      <c r="L95" s="16" t="s">
        <v>27</v>
      </c>
      <c r="M95">
        <v>1</v>
      </c>
    </row>
    <row r="96" spans="1:13" x14ac:dyDescent="0.35">
      <c r="A96" s="5">
        <v>17</v>
      </c>
      <c r="B96" t="s">
        <v>34</v>
      </c>
      <c r="C96" t="s">
        <v>21</v>
      </c>
      <c r="D96" t="s">
        <v>22</v>
      </c>
      <c r="E96" t="s">
        <v>23</v>
      </c>
      <c r="F96" t="s">
        <v>21</v>
      </c>
      <c r="G96" t="s">
        <v>16</v>
      </c>
      <c r="H96" t="s">
        <v>25</v>
      </c>
      <c r="I96" t="s">
        <v>21</v>
      </c>
      <c r="J96" t="s">
        <v>19</v>
      </c>
      <c r="K96" s="6" t="s">
        <v>20</v>
      </c>
      <c r="L96" s="16" t="s">
        <v>20</v>
      </c>
      <c r="M96">
        <v>8</v>
      </c>
    </row>
    <row r="97" spans="1:13" x14ac:dyDescent="0.35">
      <c r="A97" s="7">
        <v>19</v>
      </c>
      <c r="B97" s="1" t="s">
        <v>11</v>
      </c>
      <c r="C97" s="1" t="s">
        <v>12</v>
      </c>
      <c r="D97" s="1" t="s">
        <v>22</v>
      </c>
      <c r="E97" s="1" t="s">
        <v>14</v>
      </c>
      <c r="F97" s="1" t="s">
        <v>15</v>
      </c>
      <c r="G97" s="1" t="s">
        <v>16</v>
      </c>
      <c r="H97" s="1" t="s">
        <v>17</v>
      </c>
      <c r="I97" s="1" t="s">
        <v>18</v>
      </c>
      <c r="J97" s="1" t="s">
        <v>19</v>
      </c>
      <c r="K97" s="8" t="s">
        <v>20</v>
      </c>
      <c r="L97" s="16" t="s">
        <v>57</v>
      </c>
      <c r="M97">
        <v>12</v>
      </c>
    </row>
    <row r="100" spans="1:13" x14ac:dyDescent="0.35">
      <c r="A100" s="1" t="s">
        <v>50</v>
      </c>
      <c r="B100" s="1" t="s">
        <v>11</v>
      </c>
      <c r="C100" s="1" t="s">
        <v>21</v>
      </c>
      <c r="D100" s="1"/>
      <c r="E100" s="1"/>
      <c r="F100" s="1"/>
      <c r="G100" s="1"/>
      <c r="H100" s="1"/>
      <c r="I100" s="1"/>
      <c r="J100" s="1"/>
      <c r="K100" s="1" t="s">
        <v>27</v>
      </c>
    </row>
    <row r="101" spans="1:13" x14ac:dyDescent="0.35">
      <c r="A101" t="s">
        <v>42</v>
      </c>
      <c r="B101">
        <v>1</v>
      </c>
    </row>
    <row r="102" spans="1:13" x14ac:dyDescent="0.35">
      <c r="A102" t="s">
        <v>43</v>
      </c>
      <c r="B102">
        <v>0</v>
      </c>
    </row>
    <row r="103" spans="1:13" x14ac:dyDescent="0.35">
      <c r="A103" t="s">
        <v>44</v>
      </c>
      <c r="B103">
        <f>SUM(B101:B102)</f>
        <v>1</v>
      </c>
    </row>
    <row r="104" spans="1:13" x14ac:dyDescent="0.35">
      <c r="A104" t="s">
        <v>45</v>
      </c>
      <c r="B104">
        <f>B103/M95</f>
        <v>1</v>
      </c>
      <c r="C104">
        <f>B104*100</f>
        <v>100</v>
      </c>
    </row>
    <row r="105" spans="1:13" x14ac:dyDescent="0.35">
      <c r="A105" t="s">
        <v>46</v>
      </c>
      <c r="B105">
        <f>B101/B103</f>
        <v>1</v>
      </c>
      <c r="C105">
        <f>B105*100</f>
        <v>100</v>
      </c>
    </row>
    <row r="106" spans="1:13" x14ac:dyDescent="0.35">
      <c r="A106" t="s">
        <v>47</v>
      </c>
      <c r="B106">
        <v>2</v>
      </c>
    </row>
    <row r="114" spans="1:11" x14ac:dyDescent="0.35">
      <c r="A114" s="2" t="s">
        <v>0</v>
      </c>
      <c r="B114" s="3" t="s">
        <v>1</v>
      </c>
      <c r="C114" s="3" t="s">
        <v>2</v>
      </c>
      <c r="D114" s="3" t="s">
        <v>3</v>
      </c>
      <c r="E114" s="3" t="s">
        <v>4</v>
      </c>
      <c r="F114" s="3" t="s">
        <v>5</v>
      </c>
      <c r="G114" s="3" t="s">
        <v>6</v>
      </c>
      <c r="H114" s="3" t="s">
        <v>7</v>
      </c>
      <c r="I114" s="3" t="s">
        <v>8</v>
      </c>
      <c r="J114" s="3" t="s">
        <v>9</v>
      </c>
      <c r="K114" s="4" t="s">
        <v>10</v>
      </c>
    </row>
    <row r="115" spans="1:11" x14ac:dyDescent="0.35">
      <c r="A115" s="5">
        <v>1</v>
      </c>
      <c r="B115" s="21" t="s">
        <v>11</v>
      </c>
      <c r="C115" s="21" t="s">
        <v>12</v>
      </c>
      <c r="D115" s="21" t="s">
        <v>13</v>
      </c>
      <c r="E115" s="21" t="s">
        <v>14</v>
      </c>
      <c r="F115" s="21" t="s">
        <v>15</v>
      </c>
      <c r="G115" s="21" t="s">
        <v>16</v>
      </c>
      <c r="H115" s="21" t="s">
        <v>17</v>
      </c>
      <c r="I115" s="21" t="s">
        <v>18</v>
      </c>
      <c r="J115" s="21" t="s">
        <v>19</v>
      </c>
      <c r="K115" s="6" t="s">
        <v>20</v>
      </c>
    </row>
    <row r="116" spans="1:11" x14ac:dyDescent="0.35">
      <c r="A116" s="5">
        <v>4</v>
      </c>
      <c r="B116" s="21" t="s">
        <v>34</v>
      </c>
      <c r="C116" s="21" t="s">
        <v>21</v>
      </c>
      <c r="D116" s="21" t="s">
        <v>22</v>
      </c>
      <c r="E116" s="21" t="s">
        <v>14</v>
      </c>
      <c r="F116" s="21" t="s">
        <v>15</v>
      </c>
      <c r="G116" s="21" t="s">
        <v>16</v>
      </c>
      <c r="H116" s="21" t="s">
        <v>31</v>
      </c>
      <c r="I116" s="21" t="s">
        <v>18</v>
      </c>
      <c r="J116" s="21" t="s">
        <v>19</v>
      </c>
      <c r="K116" s="6" t="s">
        <v>20</v>
      </c>
    </row>
    <row r="117" spans="1:11" x14ac:dyDescent="0.35">
      <c r="A117" s="5">
        <v>6</v>
      </c>
      <c r="B117" s="21" t="s">
        <v>11</v>
      </c>
      <c r="C117" s="21" t="s">
        <v>12</v>
      </c>
      <c r="D117" s="21" t="s">
        <v>22</v>
      </c>
      <c r="E117" s="21" t="s">
        <v>23</v>
      </c>
      <c r="F117" s="21" t="s">
        <v>21</v>
      </c>
      <c r="G117" s="21" t="s">
        <v>16</v>
      </c>
      <c r="H117" s="21" t="s">
        <v>25</v>
      </c>
      <c r="I117" s="21" t="s">
        <v>18</v>
      </c>
      <c r="J117" s="21" t="s">
        <v>19</v>
      </c>
      <c r="K117" s="6" t="s">
        <v>20</v>
      </c>
    </row>
    <row r="118" spans="1:11" x14ac:dyDescent="0.35">
      <c r="A118" s="5">
        <v>8</v>
      </c>
      <c r="B118" s="21" t="s">
        <v>11</v>
      </c>
      <c r="C118" s="21" t="s">
        <v>12</v>
      </c>
      <c r="D118" s="21" t="s">
        <v>38</v>
      </c>
      <c r="E118" s="21" t="s">
        <v>14</v>
      </c>
      <c r="F118" s="21" t="s">
        <v>15</v>
      </c>
      <c r="G118" s="21" t="s">
        <v>16</v>
      </c>
      <c r="H118" s="21" t="s">
        <v>17</v>
      </c>
      <c r="I118" s="21" t="s">
        <v>18</v>
      </c>
      <c r="J118" s="21" t="s">
        <v>19</v>
      </c>
      <c r="K118" s="6" t="s">
        <v>20</v>
      </c>
    </row>
    <row r="119" spans="1:11" x14ac:dyDescent="0.35">
      <c r="A119" s="5">
        <v>12</v>
      </c>
      <c r="B119" s="21" t="s">
        <v>11</v>
      </c>
      <c r="C119" s="21" t="s">
        <v>12</v>
      </c>
      <c r="D119" s="21" t="s">
        <v>22</v>
      </c>
      <c r="E119" s="21" t="s">
        <v>14</v>
      </c>
      <c r="F119" s="21" t="s">
        <v>15</v>
      </c>
      <c r="G119" s="21" t="s">
        <v>16</v>
      </c>
      <c r="H119" s="21" t="s">
        <v>25</v>
      </c>
      <c r="I119" s="21" t="s">
        <v>18</v>
      </c>
      <c r="J119" s="21" t="s">
        <v>19</v>
      </c>
      <c r="K119" s="6" t="s">
        <v>20</v>
      </c>
    </row>
    <row r="120" spans="1:11" x14ac:dyDescent="0.35">
      <c r="A120" s="5">
        <v>15</v>
      </c>
      <c r="B120" s="21" t="s">
        <v>11</v>
      </c>
      <c r="C120" s="21" t="s">
        <v>12</v>
      </c>
      <c r="D120" s="21" t="s">
        <v>13</v>
      </c>
      <c r="E120" s="21" t="s">
        <v>14</v>
      </c>
      <c r="F120" s="21" t="s">
        <v>15</v>
      </c>
      <c r="G120" s="21" t="s">
        <v>16</v>
      </c>
      <c r="H120" s="21" t="s">
        <v>17</v>
      </c>
      <c r="I120" s="21" t="s">
        <v>18</v>
      </c>
      <c r="J120" s="21" t="s">
        <v>19</v>
      </c>
      <c r="K120" s="6" t="s">
        <v>20</v>
      </c>
    </row>
    <row r="121" spans="1:11" x14ac:dyDescent="0.35">
      <c r="A121" s="5">
        <v>17</v>
      </c>
      <c r="B121" s="21" t="s">
        <v>34</v>
      </c>
      <c r="C121" s="21" t="s">
        <v>21</v>
      </c>
      <c r="D121" s="21" t="s">
        <v>22</v>
      </c>
      <c r="E121" s="21" t="s">
        <v>23</v>
      </c>
      <c r="F121" s="21" t="s">
        <v>21</v>
      </c>
      <c r="G121" s="21" t="s">
        <v>16</v>
      </c>
      <c r="H121" s="21" t="s">
        <v>25</v>
      </c>
      <c r="I121" s="21" t="s">
        <v>21</v>
      </c>
      <c r="J121" s="21" t="s">
        <v>19</v>
      </c>
      <c r="K121" s="6" t="s">
        <v>20</v>
      </c>
    </row>
    <row r="122" spans="1:11" x14ac:dyDescent="0.35">
      <c r="A122" s="7">
        <v>19</v>
      </c>
      <c r="B122" s="1" t="s">
        <v>11</v>
      </c>
      <c r="C122" s="1" t="s">
        <v>12</v>
      </c>
      <c r="D122" s="1" t="s">
        <v>22</v>
      </c>
      <c r="E122" s="1" t="s">
        <v>14</v>
      </c>
      <c r="F122" s="1" t="s">
        <v>15</v>
      </c>
      <c r="G122" s="1" t="s">
        <v>16</v>
      </c>
      <c r="H122" s="1" t="s">
        <v>17</v>
      </c>
      <c r="I122" s="1" t="s">
        <v>18</v>
      </c>
      <c r="J122" s="1" t="s">
        <v>19</v>
      </c>
      <c r="K122" s="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 Based</vt:lpstr>
      <vt:lpstr>Sequential Covering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Cullen</dc:creator>
  <cp:lastModifiedBy>Ed Cullen</cp:lastModifiedBy>
  <dcterms:created xsi:type="dcterms:W3CDTF">2015-06-05T18:17:20Z</dcterms:created>
  <dcterms:modified xsi:type="dcterms:W3CDTF">2025-10-22T17:09:05Z</dcterms:modified>
</cp:coreProperties>
</file>